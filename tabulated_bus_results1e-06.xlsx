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900" windowWidth="27075" windowHeight="11745"/>
  </bookViews>
  <sheets>
    <sheet name="tabulated_bus_results1e-06" sheetId="1" r:id="rId1"/>
  </sheets>
  <definedNames>
    <definedName name="_xlnm._FilterDatabase" localSheetId="0" hidden="1">'tabulated_bus_results1e-06'!$A$1:$N$31</definedName>
  </definedNames>
  <calcPr calcId="0"/>
</workbook>
</file>

<file path=xl/calcChain.xml><?xml version="1.0" encoding="utf-8"?>
<calcChain xmlns="http://schemas.openxmlformats.org/spreadsheetml/2006/main">
  <c r="L31" i="1" l="1"/>
  <c r="L30" i="1"/>
  <c r="L29" i="1"/>
  <c r="L28" i="1"/>
  <c r="L27" i="1"/>
  <c r="L25" i="1"/>
  <c r="L24" i="1"/>
  <c r="L23" i="1"/>
  <c r="L22" i="1"/>
  <c r="L21" i="1"/>
  <c r="L19" i="1"/>
  <c r="L18" i="1"/>
  <c r="L17" i="1"/>
  <c r="L16" i="1"/>
  <c r="L15" i="1"/>
  <c r="J31" i="1"/>
  <c r="J30" i="1"/>
  <c r="J29" i="1"/>
  <c r="J28" i="1"/>
  <c r="J27" i="1"/>
  <c r="J25" i="1"/>
  <c r="J24" i="1"/>
  <c r="J23" i="1"/>
  <c r="J22" i="1"/>
  <c r="J21" i="1"/>
  <c r="J19" i="1"/>
  <c r="J18" i="1"/>
  <c r="J17" i="1"/>
  <c r="J16" i="1"/>
  <c r="J15" i="1"/>
  <c r="H31" i="1"/>
  <c r="H30" i="1"/>
  <c r="H29" i="1"/>
  <c r="H28" i="1"/>
  <c r="H27" i="1"/>
  <c r="H25" i="1"/>
  <c r="H24" i="1"/>
  <c r="H23" i="1"/>
  <c r="H22" i="1"/>
  <c r="H21" i="1"/>
  <c r="H19" i="1"/>
  <c r="H18" i="1"/>
  <c r="H17" i="1"/>
  <c r="H16" i="1"/>
  <c r="H15" i="1"/>
  <c r="F31" i="1"/>
  <c r="F30" i="1"/>
  <c r="F29" i="1"/>
  <c r="F28" i="1"/>
  <c r="F27" i="1"/>
  <c r="F25" i="1"/>
  <c r="F24" i="1"/>
  <c r="F23" i="1"/>
  <c r="F22" i="1"/>
  <c r="F21" i="1"/>
  <c r="F16" i="1"/>
  <c r="F17" i="1"/>
  <c r="F18" i="1"/>
  <c r="F19" i="1"/>
  <c r="F15" i="1"/>
</calcChain>
</file>

<file path=xl/sharedStrings.xml><?xml version="1.0" encoding="utf-8"?>
<sst xmlns="http://schemas.openxmlformats.org/spreadsheetml/2006/main" count="70" uniqueCount="18">
  <si>
    <t>Bus</t>
  </si>
  <si>
    <t>Name</t>
  </si>
  <si>
    <t>Type</t>
  </si>
  <si>
    <t>Iteration</t>
  </si>
  <si>
    <t>V (pu)</t>
  </si>
  <si>
    <t>Angle (deg)</t>
  </si>
  <si>
    <t>P_inj (pu)</t>
  </si>
  <si>
    <t>Q_inj (pu)</t>
  </si>
  <si>
    <t>P_inj (MW)</t>
  </si>
  <si>
    <t>Q_inj (MVAr)</t>
  </si>
  <si>
    <t>Alan</t>
  </si>
  <si>
    <t>SL</t>
  </si>
  <si>
    <t>Betty</t>
  </si>
  <si>
    <t>PV</t>
  </si>
  <si>
    <t>Clyde</t>
  </si>
  <si>
    <t>PQ</t>
  </si>
  <si>
    <t>Doug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</si>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</sst>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R23" sqref="R23"/>
    </sheetView>
  </sheetViews>
  <sheetFormatPr defaultRowHeight="15" x14ac:dyDescent="0.25"/>
  <cols>
    <col min="1" max="1" width="4.140625" bestFit="1" customWidth="1"/>
    <col min="2" max="2" width="6.28515625" bestFit="1" customWidth="1"/>
    <col min="3" max="3" width="5.28515625" bestFit="1" customWidth="1"/>
    <col min="4" max="4" width="8.7109375" bestFit="1" customWidth="1"/>
    <col min="5" max="5" width="12" bestFit="1" customWidth="1"/>
    <col min="6" max="6" width="12" customWidth="1"/>
    <col min="7" max="7" width="12.7109375" bestFit="1" customWidth="1"/>
    <col min="8" max="8" width="12.7109375" customWidth="1"/>
    <col min="9" max="9" width="9.5703125" bestFit="1" customWidth="1"/>
    <col min="10" max="10" width="9.5703125" customWidth="1"/>
    <col min="11" max="11" width="9.85546875" bestFit="1" customWidth="1"/>
    <col min="12" max="12" width="9.85546875" customWidth="1"/>
    <col min="13" max="13" width="10.85546875" bestFit="1" customWidth="1"/>
    <col min="14" max="14" width="12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N1" t="s">
        <v>9</v>
      </c>
    </row>
    <row r="2" spans="1:14" x14ac:dyDescent="0.25">
      <c r="A2">
        <v>1</v>
      </c>
      <c r="B2" t="s">
        <v>10</v>
      </c>
      <c r="C2" t="s">
        <v>11</v>
      </c>
      <c r="D2">
        <v>1</v>
      </c>
      <c r="E2">
        <v>0.98</v>
      </c>
      <c r="G2">
        <v>0</v>
      </c>
      <c r="I2">
        <v>1.3798999999999999</v>
      </c>
      <c r="K2">
        <v>0.63280000000000003</v>
      </c>
      <c r="M2">
        <v>138</v>
      </c>
      <c r="N2">
        <v>63.3</v>
      </c>
    </row>
    <row r="3" spans="1:14" x14ac:dyDescent="0.25">
      <c r="A3">
        <v>1</v>
      </c>
      <c r="B3" t="s">
        <v>10</v>
      </c>
      <c r="C3" t="s">
        <v>11</v>
      </c>
      <c r="D3">
        <v>2</v>
      </c>
      <c r="E3">
        <v>0.98</v>
      </c>
      <c r="G3">
        <v>0</v>
      </c>
      <c r="I3">
        <v>1.5966</v>
      </c>
      <c r="K3">
        <v>0.87090000000000001</v>
      </c>
      <c r="M3">
        <v>159.69999999999999</v>
      </c>
      <c r="N3">
        <v>87.1</v>
      </c>
    </row>
    <row r="4" spans="1:14" x14ac:dyDescent="0.25">
      <c r="A4">
        <v>1</v>
      </c>
      <c r="B4" t="s">
        <v>10</v>
      </c>
      <c r="C4" t="s">
        <v>11</v>
      </c>
      <c r="D4">
        <v>3</v>
      </c>
      <c r="E4">
        <v>0.98</v>
      </c>
      <c r="G4">
        <v>0</v>
      </c>
      <c r="I4">
        <v>1.6071</v>
      </c>
      <c r="K4">
        <v>0.876</v>
      </c>
      <c r="M4">
        <v>160.69999999999999</v>
      </c>
      <c r="N4">
        <v>87.6</v>
      </c>
    </row>
    <row r="5" spans="1:14" x14ac:dyDescent="0.25">
      <c r="A5">
        <v>1</v>
      </c>
      <c r="B5" t="s">
        <v>10</v>
      </c>
      <c r="C5" t="s">
        <v>11</v>
      </c>
      <c r="D5">
        <v>4</v>
      </c>
      <c r="E5">
        <v>0.98</v>
      </c>
      <c r="G5">
        <v>0</v>
      </c>
      <c r="I5">
        <v>1.6077999999999999</v>
      </c>
      <c r="K5">
        <v>0.87590000000000001</v>
      </c>
      <c r="M5">
        <v>160.80000000000001</v>
      </c>
      <c r="N5">
        <v>87.6</v>
      </c>
    </row>
    <row r="6" spans="1:14" x14ac:dyDescent="0.25">
      <c r="A6">
        <v>1</v>
      </c>
      <c r="B6" t="s">
        <v>10</v>
      </c>
      <c r="C6" t="s">
        <v>11</v>
      </c>
      <c r="D6">
        <v>5</v>
      </c>
      <c r="E6">
        <v>0.98</v>
      </c>
      <c r="G6">
        <v>0</v>
      </c>
      <c r="I6">
        <v>1.6077999999999999</v>
      </c>
      <c r="K6">
        <v>0.87590000000000001</v>
      </c>
      <c r="M6">
        <v>160.80000000000001</v>
      </c>
      <c r="N6">
        <v>87.6</v>
      </c>
    </row>
    <row r="7" spans="1:14" x14ac:dyDescent="0.25">
      <c r="A7">
        <v>1</v>
      </c>
      <c r="B7" t="s">
        <v>10</v>
      </c>
      <c r="C7" t="s">
        <v>11</v>
      </c>
      <c r="D7">
        <v>6</v>
      </c>
      <c r="E7">
        <v>0.98</v>
      </c>
      <c r="G7">
        <v>0</v>
      </c>
      <c r="I7">
        <v>1.6077999999999999</v>
      </c>
      <c r="K7">
        <v>0.87590000000000001</v>
      </c>
      <c r="M7">
        <v>160.80000000000001</v>
      </c>
      <c r="N7">
        <v>87.6</v>
      </c>
    </row>
    <row r="8" spans="1:14" x14ac:dyDescent="0.25">
      <c r="A8">
        <v>2</v>
      </c>
      <c r="B8" t="s">
        <v>12</v>
      </c>
      <c r="C8" t="s">
        <v>13</v>
      </c>
      <c r="D8">
        <v>1</v>
      </c>
      <c r="E8">
        <v>1</v>
      </c>
      <c r="G8">
        <v>-0.34713158404167399</v>
      </c>
      <c r="I8">
        <v>1.9633</v>
      </c>
      <c r="K8">
        <v>2.4584999999999999</v>
      </c>
      <c r="M8">
        <v>196.3</v>
      </c>
      <c r="N8">
        <v>245.9</v>
      </c>
    </row>
    <row r="9" spans="1:14" x14ac:dyDescent="0.25">
      <c r="A9">
        <v>2</v>
      </c>
      <c r="B9" t="s">
        <v>12</v>
      </c>
      <c r="C9" t="s">
        <v>13</v>
      </c>
      <c r="D9">
        <v>2</v>
      </c>
      <c r="E9">
        <v>1</v>
      </c>
      <c r="G9">
        <v>-0.49450468169245698</v>
      </c>
      <c r="I9">
        <v>2.1038999999999999</v>
      </c>
      <c r="K9">
        <v>2.8140000000000001</v>
      </c>
      <c r="M9">
        <v>210.4</v>
      </c>
      <c r="N9">
        <v>281.39999999999998</v>
      </c>
    </row>
    <row r="10" spans="1:14" x14ac:dyDescent="0.25">
      <c r="A10">
        <v>2</v>
      </c>
      <c r="B10" t="s">
        <v>12</v>
      </c>
      <c r="C10" t="s">
        <v>13</v>
      </c>
      <c r="D10">
        <v>3</v>
      </c>
      <c r="E10">
        <v>1</v>
      </c>
      <c r="G10">
        <v>-0.509370162606402</v>
      </c>
      <c r="I10">
        <v>2.1006999999999998</v>
      </c>
      <c r="K10">
        <v>2.8241000000000001</v>
      </c>
      <c r="M10">
        <v>210.1</v>
      </c>
      <c r="N10">
        <v>282.39999999999998</v>
      </c>
    </row>
    <row r="11" spans="1:14" x14ac:dyDescent="0.25">
      <c r="A11">
        <v>2</v>
      </c>
      <c r="B11" t="s">
        <v>12</v>
      </c>
      <c r="C11" t="s">
        <v>13</v>
      </c>
      <c r="D11">
        <v>4</v>
      </c>
      <c r="E11">
        <v>1</v>
      </c>
      <c r="G11">
        <v>-0.51066200072966195</v>
      </c>
      <c r="I11">
        <v>2.1000999999999999</v>
      </c>
      <c r="K11">
        <v>2.8243</v>
      </c>
      <c r="M11">
        <v>210</v>
      </c>
      <c r="N11">
        <v>282.39999999999998</v>
      </c>
    </row>
    <row r="12" spans="1:14" x14ac:dyDescent="0.25">
      <c r="A12">
        <v>2</v>
      </c>
      <c r="B12" t="s">
        <v>12</v>
      </c>
      <c r="C12" t="s">
        <v>13</v>
      </c>
      <c r="D12">
        <v>5</v>
      </c>
      <c r="E12">
        <v>1</v>
      </c>
      <c r="G12">
        <v>-0.51077429703417698</v>
      </c>
      <c r="I12">
        <v>2.1</v>
      </c>
      <c r="K12">
        <v>2.8243</v>
      </c>
      <c r="M12">
        <v>210</v>
      </c>
      <c r="N12">
        <v>282.39999999999998</v>
      </c>
    </row>
    <row r="13" spans="1:14" x14ac:dyDescent="0.25">
      <c r="A13">
        <v>2</v>
      </c>
      <c r="B13" t="s">
        <v>12</v>
      </c>
      <c r="C13" t="s">
        <v>13</v>
      </c>
      <c r="D13">
        <v>6</v>
      </c>
      <c r="E13">
        <v>1</v>
      </c>
      <c r="G13">
        <v>-0.51078405888532696</v>
      </c>
      <c r="I13">
        <v>2.1</v>
      </c>
      <c r="K13">
        <v>2.8243</v>
      </c>
      <c r="M13">
        <v>210</v>
      </c>
      <c r="N13">
        <v>282.39999999999998</v>
      </c>
    </row>
    <row r="14" spans="1:14" x14ac:dyDescent="0.25">
      <c r="A14">
        <v>3</v>
      </c>
      <c r="B14" t="s">
        <v>14</v>
      </c>
      <c r="C14" t="s">
        <v>15</v>
      </c>
      <c r="D14">
        <v>1</v>
      </c>
      <c r="E14">
        <v>0.88475344609746298</v>
      </c>
      <c r="G14">
        <v>-5.7309827212189601</v>
      </c>
      <c r="I14">
        <v>-0.90249999999999997</v>
      </c>
      <c r="K14">
        <v>-0.75549999999999995</v>
      </c>
      <c r="M14">
        <v>-90.3</v>
      </c>
      <c r="N14">
        <v>-75.5</v>
      </c>
    </row>
    <row r="15" spans="1:14" x14ac:dyDescent="0.25">
      <c r="A15">
        <v>3</v>
      </c>
      <c r="B15" t="s">
        <v>14</v>
      </c>
      <c r="C15" t="s">
        <v>15</v>
      </c>
      <c r="D15">
        <v>2</v>
      </c>
      <c r="E15">
        <v>0.865868021869315</v>
      </c>
      <c r="F15" s="1">
        <f>E15-E14</f>
        <v>-1.8885424228147984E-2</v>
      </c>
      <c r="G15">
        <v>-6.6732406272029801</v>
      </c>
      <c r="H15" s="1">
        <f>G15-G14</f>
        <v>-0.94225790598401993</v>
      </c>
      <c r="I15">
        <v>-1.0922000000000001</v>
      </c>
      <c r="J15" s="1">
        <f>I15-I14</f>
        <v>-0.18970000000000009</v>
      </c>
      <c r="K15">
        <v>-0.84760000000000002</v>
      </c>
      <c r="L15" s="1">
        <f>K15-K14</f>
        <v>-9.2100000000000071E-2</v>
      </c>
      <c r="M15">
        <v>-109.2</v>
      </c>
      <c r="N15">
        <v>-84.8</v>
      </c>
    </row>
    <row r="16" spans="1:14" x14ac:dyDescent="0.25">
      <c r="A16">
        <v>3</v>
      </c>
      <c r="B16" t="s">
        <v>14</v>
      </c>
      <c r="C16" t="s">
        <v>15</v>
      </c>
      <c r="D16">
        <v>3</v>
      </c>
      <c r="E16">
        <v>0.86536109664968697</v>
      </c>
      <c r="F16" s="1">
        <f t="shared" ref="F16:H31" si="0">E16-E15</f>
        <v>-5.0692521962802939E-4</v>
      </c>
      <c r="G16">
        <v>-6.7077414589987496</v>
      </c>
      <c r="H16" s="1">
        <f t="shared" si="0"/>
        <v>-3.4500831795769571E-2</v>
      </c>
      <c r="I16">
        <v>-1.1000000000000001</v>
      </c>
      <c r="J16" s="1">
        <f t="shared" ref="J16" si="1">I16-I15</f>
        <v>-7.8000000000000291E-3</v>
      </c>
      <c r="K16">
        <v>-0.85</v>
      </c>
      <c r="L16" s="1">
        <f t="shared" ref="L16" si="2">K16-K15</f>
        <v>-2.3999999999999577E-3</v>
      </c>
      <c r="M16">
        <v>-110</v>
      </c>
      <c r="N16">
        <v>-85</v>
      </c>
    </row>
    <row r="17" spans="1:14" x14ac:dyDescent="0.25">
      <c r="A17">
        <v>3</v>
      </c>
      <c r="B17" t="s">
        <v>14</v>
      </c>
      <c r="C17" t="s">
        <v>15</v>
      </c>
      <c r="D17">
        <v>4</v>
      </c>
      <c r="E17">
        <v>0.86536078324154597</v>
      </c>
      <c r="F17" s="1">
        <f t="shared" si="0"/>
        <v>-3.1340814099500847E-7</v>
      </c>
      <c r="G17">
        <v>-6.7085222519883496</v>
      </c>
      <c r="H17" s="1">
        <f t="shared" si="0"/>
        <v>-7.8079298959998766E-4</v>
      </c>
      <c r="I17">
        <v>-1.1000000000000001</v>
      </c>
      <c r="J17" s="1">
        <f t="shared" ref="J17" si="3">I17-I16</f>
        <v>0</v>
      </c>
      <c r="K17">
        <v>-0.85</v>
      </c>
      <c r="L17" s="1">
        <f t="shared" ref="L17" si="4">K17-K16</f>
        <v>0</v>
      </c>
      <c r="M17">
        <v>-110</v>
      </c>
      <c r="N17">
        <v>-85</v>
      </c>
    </row>
    <row r="18" spans="1:14" x14ac:dyDescent="0.25">
      <c r="A18">
        <v>3</v>
      </c>
      <c r="B18" t="s">
        <v>14</v>
      </c>
      <c r="C18" t="s">
        <v>15</v>
      </c>
      <c r="D18">
        <v>5</v>
      </c>
      <c r="E18">
        <v>0.86536079290127899</v>
      </c>
      <c r="F18" s="1">
        <f t="shared" si="0"/>
        <v>9.6597330134784443E-9</v>
      </c>
      <c r="G18">
        <v>-6.7085881353269601</v>
      </c>
      <c r="H18" s="1">
        <f t="shared" si="0"/>
        <v>-6.5883338610461806E-5</v>
      </c>
      <c r="I18">
        <v>-1.1000000000000001</v>
      </c>
      <c r="J18" s="1">
        <f t="shared" ref="J18" si="5">I18-I17</f>
        <v>0</v>
      </c>
      <c r="K18">
        <v>-0.85</v>
      </c>
      <c r="L18" s="1">
        <f t="shared" ref="L18" si="6">K18-K17</f>
        <v>0</v>
      </c>
      <c r="M18">
        <v>-110</v>
      </c>
      <c r="N18">
        <v>-85</v>
      </c>
    </row>
    <row r="19" spans="1:14" x14ac:dyDescent="0.25">
      <c r="A19">
        <v>3</v>
      </c>
      <c r="B19" t="s">
        <v>14</v>
      </c>
      <c r="C19" t="s">
        <v>15</v>
      </c>
      <c r="D19">
        <v>6</v>
      </c>
      <c r="E19">
        <v>0.86536079374656905</v>
      </c>
      <c r="F19" s="1">
        <f t="shared" si="0"/>
        <v>8.4529006016964559E-10</v>
      </c>
      <c r="G19">
        <v>-6.7085938624559596</v>
      </c>
      <c r="H19" s="1">
        <f t="shared" si="0"/>
        <v>-5.7271289994886843E-6</v>
      </c>
      <c r="I19">
        <v>-1.1000000000000001</v>
      </c>
      <c r="J19" s="1">
        <f t="shared" ref="J19" si="7">I19-I18</f>
        <v>0</v>
      </c>
      <c r="K19">
        <v>-0.85</v>
      </c>
      <c r="L19" s="1">
        <f t="shared" ref="L19" si="8">K19-K18</f>
        <v>0</v>
      </c>
      <c r="M19">
        <v>-110</v>
      </c>
      <c r="N19">
        <v>-85</v>
      </c>
    </row>
    <row r="20" spans="1:14" x14ac:dyDescent="0.25">
      <c r="A20">
        <v>4</v>
      </c>
      <c r="B20" t="s">
        <v>16</v>
      </c>
      <c r="C20" t="s">
        <v>15</v>
      </c>
      <c r="D20">
        <v>1</v>
      </c>
      <c r="E20">
        <v>0.91011787440565095</v>
      </c>
      <c r="G20">
        <v>-4.2412766589908601</v>
      </c>
      <c r="I20">
        <v>-0.94210000000000005</v>
      </c>
      <c r="K20">
        <v>-0.77969999999999995</v>
      </c>
      <c r="M20">
        <v>-94.2</v>
      </c>
      <c r="N20">
        <v>-78</v>
      </c>
    </row>
    <row r="21" spans="1:14" x14ac:dyDescent="0.25">
      <c r="A21">
        <v>4</v>
      </c>
      <c r="B21" t="s">
        <v>16</v>
      </c>
      <c r="C21" t="s">
        <v>15</v>
      </c>
      <c r="D21">
        <v>2</v>
      </c>
      <c r="E21">
        <v>0.89553399871125405</v>
      </c>
      <c r="F21" s="1">
        <f>E21-E20</f>
        <v>-1.4583875694396897E-2</v>
      </c>
      <c r="G21">
        <v>-4.7646810852005297</v>
      </c>
      <c r="H21" s="1">
        <f>G21-G20</f>
        <v>-0.52340442620966954</v>
      </c>
      <c r="I21">
        <v>-1.0006999999999999</v>
      </c>
      <c r="J21" s="1">
        <f>I21-I20</f>
        <v>-5.8599999999999874E-2</v>
      </c>
      <c r="K21">
        <v>-0.94579999999999997</v>
      </c>
      <c r="L21" s="1">
        <f>K21-K20</f>
        <v>-0.16610000000000003</v>
      </c>
      <c r="M21">
        <v>-100.1</v>
      </c>
      <c r="N21">
        <v>-94.6</v>
      </c>
    </row>
    <row r="22" spans="1:14" x14ac:dyDescent="0.25">
      <c r="A22">
        <v>4</v>
      </c>
      <c r="B22" t="s">
        <v>16</v>
      </c>
      <c r="C22" t="s">
        <v>15</v>
      </c>
      <c r="D22">
        <v>3</v>
      </c>
      <c r="E22">
        <v>0.89515992269871403</v>
      </c>
      <c r="F22" s="1">
        <f t="shared" si="0"/>
        <v>-3.7407601254002554E-4</v>
      </c>
      <c r="G22">
        <v>-4.7803003012687002</v>
      </c>
      <c r="H22" s="1">
        <f t="shared" ref="H22" si="9">G22-G21</f>
        <v>-1.5619216068170516E-2</v>
      </c>
      <c r="I22">
        <v>-1</v>
      </c>
      <c r="J22" s="1">
        <f t="shared" ref="J22" si="10">I22-I21</f>
        <v>6.9999999999992291E-4</v>
      </c>
      <c r="K22">
        <v>-0.95</v>
      </c>
      <c r="L22" s="1">
        <f t="shared" ref="L22" si="11">K22-K21</f>
        <v>-4.1999999999999815E-3</v>
      </c>
      <c r="M22">
        <v>-100</v>
      </c>
      <c r="N22">
        <v>-95</v>
      </c>
    </row>
    <row r="23" spans="1:14" x14ac:dyDescent="0.25">
      <c r="A23">
        <v>4</v>
      </c>
      <c r="B23" t="s">
        <v>16</v>
      </c>
      <c r="C23" t="s">
        <v>15</v>
      </c>
      <c r="D23">
        <v>4</v>
      </c>
      <c r="E23">
        <v>0.89515952149886002</v>
      </c>
      <c r="F23" s="1">
        <f t="shared" si="0"/>
        <v>-4.0119985400544067E-7</v>
      </c>
      <c r="G23">
        <v>-4.7808668587161902</v>
      </c>
      <c r="H23" s="1">
        <f t="shared" ref="H23" si="12">G23-G22</f>
        <v>-5.6655744749001258E-4</v>
      </c>
      <c r="I23">
        <v>-1</v>
      </c>
      <c r="J23" s="1">
        <f t="shared" ref="J23" si="13">I23-I22</f>
        <v>0</v>
      </c>
      <c r="K23">
        <v>-0.95</v>
      </c>
      <c r="L23" s="1">
        <f t="shared" ref="L23" si="14">K23-K22</f>
        <v>0</v>
      </c>
      <c r="M23">
        <v>-100</v>
      </c>
      <c r="N23">
        <v>-95</v>
      </c>
    </row>
    <row r="24" spans="1:14" x14ac:dyDescent="0.25">
      <c r="A24">
        <v>4</v>
      </c>
      <c r="B24" t="s">
        <v>16</v>
      </c>
      <c r="C24" t="s">
        <v>15</v>
      </c>
      <c r="D24">
        <v>5</v>
      </c>
      <c r="E24">
        <v>0.89515951246133096</v>
      </c>
      <c r="F24" s="1">
        <f t="shared" si="0"/>
        <v>-9.0375290584532308E-9</v>
      </c>
      <c r="G24">
        <v>-4.7809157013543802</v>
      </c>
      <c r="H24" s="1">
        <f t="shared" ref="H24" si="15">G24-G23</f>
        <v>-4.8842638189938725E-5</v>
      </c>
      <c r="I24">
        <v>-1</v>
      </c>
      <c r="J24" s="1">
        <f t="shared" ref="J24" si="16">I24-I23</f>
        <v>0</v>
      </c>
      <c r="K24">
        <v>-0.95</v>
      </c>
      <c r="L24" s="1">
        <f t="shared" ref="L24" si="17">K24-K23</f>
        <v>0</v>
      </c>
      <c r="M24">
        <v>-100</v>
      </c>
      <c r="N24">
        <v>-95</v>
      </c>
    </row>
    <row r="25" spans="1:14" x14ac:dyDescent="0.25">
      <c r="A25">
        <v>4</v>
      </c>
      <c r="B25" t="s">
        <v>16</v>
      </c>
      <c r="C25" t="s">
        <v>15</v>
      </c>
      <c r="D25">
        <v>6</v>
      </c>
      <c r="E25">
        <v>0.89515951168115004</v>
      </c>
      <c r="F25" s="1">
        <f t="shared" si="0"/>
        <v>-7.8018091986820082E-10</v>
      </c>
      <c r="G25">
        <v>-4.7809199471729</v>
      </c>
      <c r="H25" s="1">
        <f t="shared" ref="H25" si="18">G25-G24</f>
        <v>-4.2458185198768206E-6</v>
      </c>
      <c r="I25">
        <v>-1</v>
      </c>
      <c r="J25" s="1">
        <f t="shared" ref="J25" si="19">I25-I24</f>
        <v>0</v>
      </c>
      <c r="K25">
        <v>-0.95</v>
      </c>
      <c r="L25" s="1">
        <f t="shared" ref="L25" si="20">K25-K24</f>
        <v>0</v>
      </c>
      <c r="M25">
        <v>-100</v>
      </c>
      <c r="N25">
        <v>-95</v>
      </c>
    </row>
    <row r="26" spans="1:14" x14ac:dyDescent="0.25">
      <c r="A26">
        <v>5</v>
      </c>
      <c r="B26" t="s">
        <v>17</v>
      </c>
      <c r="C26" t="s">
        <v>15</v>
      </c>
      <c r="D26">
        <v>1</v>
      </c>
      <c r="E26">
        <v>0.91750718449188295</v>
      </c>
      <c r="G26">
        <v>-4.2340869496959499</v>
      </c>
      <c r="I26">
        <v>-1.4174</v>
      </c>
      <c r="K26">
        <v>-1.0301</v>
      </c>
      <c r="M26">
        <v>-141.69999999999999</v>
      </c>
      <c r="N26">
        <v>-103</v>
      </c>
    </row>
    <row r="27" spans="1:14" x14ac:dyDescent="0.25">
      <c r="A27">
        <v>5</v>
      </c>
      <c r="B27" t="s">
        <v>17</v>
      </c>
      <c r="C27" t="s">
        <v>15</v>
      </c>
      <c r="D27">
        <v>2</v>
      </c>
      <c r="E27">
        <v>0.90406643899740502</v>
      </c>
      <c r="F27" s="1">
        <f>E27-E26</f>
        <v>-1.3440745494477935E-2</v>
      </c>
      <c r="G27">
        <v>-4.7771944335869003</v>
      </c>
      <c r="H27" s="1">
        <f>G27-G26</f>
        <v>-0.54310748389095043</v>
      </c>
      <c r="I27">
        <v>-1.5004999999999999</v>
      </c>
      <c r="J27" s="1">
        <f>I27-I26</f>
        <v>-8.3099999999999952E-2</v>
      </c>
      <c r="K27">
        <v>-1.196</v>
      </c>
      <c r="L27" s="1">
        <f>K27-K26</f>
        <v>-0.16589999999999994</v>
      </c>
      <c r="M27">
        <v>-150</v>
      </c>
      <c r="N27">
        <v>-119.6</v>
      </c>
    </row>
    <row r="28" spans="1:14" x14ac:dyDescent="0.25">
      <c r="A28">
        <v>5</v>
      </c>
      <c r="B28" t="s">
        <v>17</v>
      </c>
      <c r="C28" t="s">
        <v>15</v>
      </c>
      <c r="D28">
        <v>3</v>
      </c>
      <c r="E28">
        <v>0.903727995080853</v>
      </c>
      <c r="F28" s="1">
        <f t="shared" si="0"/>
        <v>-3.3844391655202255E-4</v>
      </c>
      <c r="G28">
        <v>-4.7966678855557703</v>
      </c>
      <c r="H28" s="1">
        <f t="shared" ref="H28" si="21">G28-G27</f>
        <v>-1.9473451968869959E-2</v>
      </c>
      <c r="I28">
        <v>-1.5</v>
      </c>
      <c r="J28" s="1">
        <f t="shared" ref="J28" si="22">I28-I27</f>
        <v>4.9999999999994493E-4</v>
      </c>
      <c r="K28">
        <v>-1.2</v>
      </c>
      <c r="L28" s="1">
        <f t="shared" ref="L28" si="23">K28-K27</f>
        <v>-4.0000000000000036E-3</v>
      </c>
      <c r="M28">
        <v>-150</v>
      </c>
      <c r="N28">
        <v>-120</v>
      </c>
    </row>
    <row r="29" spans="1:14" x14ac:dyDescent="0.25">
      <c r="A29">
        <v>5</v>
      </c>
      <c r="B29" t="s">
        <v>17</v>
      </c>
      <c r="C29" t="s">
        <v>15</v>
      </c>
      <c r="D29">
        <v>4</v>
      </c>
      <c r="E29">
        <v>0.903727976432674</v>
      </c>
      <c r="F29" s="1">
        <f t="shared" si="0"/>
        <v>-1.8648179000990694E-8</v>
      </c>
      <c r="G29">
        <v>-4.7975952943048101</v>
      </c>
      <c r="H29" s="1">
        <f t="shared" ref="H29" si="24">G29-G28</f>
        <v>-9.274087490398486E-4</v>
      </c>
      <c r="I29">
        <v>-1.5</v>
      </c>
      <c r="J29" s="1">
        <f t="shared" ref="J29" si="25">I29-I28</f>
        <v>0</v>
      </c>
      <c r="K29">
        <v>-1.2</v>
      </c>
      <c r="L29" s="1">
        <f t="shared" ref="L29" si="26">K29-K28</f>
        <v>0</v>
      </c>
      <c r="M29">
        <v>-150</v>
      </c>
      <c r="N29">
        <v>-120</v>
      </c>
    </row>
    <row r="30" spans="1:14" x14ac:dyDescent="0.25">
      <c r="A30">
        <v>5</v>
      </c>
      <c r="B30" t="s">
        <v>17</v>
      </c>
      <c r="C30" t="s">
        <v>15</v>
      </c>
      <c r="D30">
        <v>5</v>
      </c>
      <c r="E30">
        <v>0.90372799771041001</v>
      </c>
      <c r="F30" s="1">
        <f t="shared" si="0"/>
        <v>2.127773601756644E-8</v>
      </c>
      <c r="G30">
        <v>-4.7976754184455199</v>
      </c>
      <c r="H30" s="1">
        <f t="shared" ref="H30" si="27">G30-G29</f>
        <v>-8.0124140709791902E-5</v>
      </c>
      <c r="I30">
        <v>-1.5</v>
      </c>
      <c r="J30" s="1">
        <f t="shared" ref="J30" si="28">I30-I29</f>
        <v>0</v>
      </c>
      <c r="K30">
        <v>-1.2</v>
      </c>
      <c r="L30" s="1">
        <f t="shared" ref="L30" si="29">K30-K29</f>
        <v>0</v>
      </c>
      <c r="M30">
        <v>-150</v>
      </c>
      <c r="N30">
        <v>-120</v>
      </c>
    </row>
    <row r="31" spans="1:14" x14ac:dyDescent="0.25">
      <c r="A31">
        <v>5</v>
      </c>
      <c r="B31" t="s">
        <v>17</v>
      </c>
      <c r="C31" t="s">
        <v>15</v>
      </c>
      <c r="D31">
        <v>6</v>
      </c>
      <c r="E31">
        <v>0.90372799956468497</v>
      </c>
      <c r="F31" s="1">
        <f t="shared" si="0"/>
        <v>1.8542749558037031E-9</v>
      </c>
      <c r="G31">
        <v>-4.7976823835462996</v>
      </c>
      <c r="H31" s="1">
        <f t="shared" ref="H31" si="30">G31-G30</f>
        <v>-6.9651007796878162E-6</v>
      </c>
      <c r="I31">
        <v>-1.5</v>
      </c>
      <c r="J31" s="1">
        <f t="shared" ref="J31" si="31">I31-I30</f>
        <v>0</v>
      </c>
      <c r="K31">
        <v>-1.2</v>
      </c>
      <c r="L31" s="1">
        <f t="shared" ref="L31" si="32">K31-K30</f>
        <v>0</v>
      </c>
      <c r="M31">
        <v>-150</v>
      </c>
      <c r="N31">
        <v>-120</v>
      </c>
    </row>
  </sheetData>
  <autoFilter ref="A1:N31">
    <sortState ref="A2:J31">
      <sortCondition ref="B1:B31"/>
    </sortState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tabulated_bus_results1e-06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</dc:creator>
  <cp:lastModifiedBy>Jeffrey</cp:lastModifiedBy>
  <dcterms:created xsi:type="dcterms:W3CDTF">2025-11-29T08:33:06Z</dcterms:created>
  <dcterms:modified xsi:type="dcterms:W3CDTF">2025-11-29T08:33:06Z</dcterms:modified>
</cp:coreProperties>
</file>