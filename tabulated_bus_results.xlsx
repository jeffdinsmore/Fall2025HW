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0" yWindow="900" windowWidth="27075" windowHeight="11745"/>
  </bookViews>
  <sheets>
    <sheet name="tabulated_bus_results" sheetId="1" r:id="rId1"/>
  </sheets>
  <definedNames>
    <definedName name="_xlnm._FilterDatabase" localSheetId="0" hidden="1">tabulated_bus_results!$A$1:$N$16</definedName>
  </definedNames>
  <calcPr calcId="0"/>
</workbook>
</file>

<file path=xl/calcChain.xml><?xml version="1.0" encoding="utf-8"?>
<calcChain xmlns="http://schemas.openxmlformats.org/spreadsheetml/2006/main">
  <c r="L16" i="1" l="1"/>
  <c r="L15" i="1"/>
  <c r="L13" i="1"/>
  <c r="L12" i="1"/>
  <c r="L10" i="1"/>
  <c r="L9" i="1"/>
  <c r="L7" i="1"/>
  <c r="L6" i="1"/>
  <c r="J16" i="1"/>
  <c r="J15" i="1"/>
  <c r="J13" i="1"/>
  <c r="J12" i="1"/>
  <c r="J10" i="1"/>
  <c r="J9" i="1"/>
  <c r="J7" i="1"/>
  <c r="J6" i="1"/>
  <c r="H16" i="1"/>
  <c r="H15" i="1"/>
  <c r="H13" i="1"/>
  <c r="H12" i="1"/>
  <c r="H10" i="1"/>
  <c r="H9" i="1"/>
  <c r="H7" i="1"/>
  <c r="H6" i="1"/>
  <c r="F16" i="1"/>
  <c r="F15" i="1"/>
  <c r="F13" i="1"/>
  <c r="F12" i="1"/>
  <c r="F10" i="1"/>
  <c r="F9" i="1"/>
  <c r="F7" i="1"/>
  <c r="F6" i="1"/>
</calcChain>
</file>

<file path=xl/sharedStrings.xml><?xml version="1.0" encoding="utf-8"?>
<sst xmlns="http://schemas.openxmlformats.org/spreadsheetml/2006/main" count="44" uniqueCount="22">
  <si>
    <t>Bus</t>
  </si>
  <si>
    <t>Name</t>
  </si>
  <si>
    <t>Type</t>
  </si>
  <si>
    <t>Iteration</t>
  </si>
  <si>
    <t>V (pu)</t>
  </si>
  <si>
    <t>Angle (deg)</t>
  </si>
  <si>
    <t>P_inj (pu)</t>
  </si>
  <si>
    <t>Q_inj (pu)</t>
  </si>
  <si>
    <t>P_inj (MW)</t>
  </si>
  <si>
    <t>Q_inj (MVAr)</t>
  </si>
  <si>
    <t>Alan</t>
  </si>
  <si>
    <t>SL</t>
  </si>
  <si>
    <t>Betty</t>
  </si>
  <si>
    <t>PV</t>
  </si>
  <si>
    <t>Clyde</t>
  </si>
  <si>
    <t>PQ</t>
  </si>
  <si>
    <t>Doug</t>
  </si>
  <si>
    <t>Eve</t>
  </si>
  <si>
    <t>Delta V</t>
  </si>
  <si>
    <t>Delta Delta</t>
  </si>
  <si>
    <t>Delta P</t>
  </si>
  <si>
    <t>Delta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</si>
</sst>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K24" sqref="K24"/>
    </sheetView>
  </sheetViews>
  <sheetFormatPr defaultRowHeight="15" x14ac:dyDescent="0.25"/>
  <cols>
    <col min="1" max="1" width="4.140625" bestFit="1" customWidth="1"/>
    <col min="2" max="2" width="6.28515625" bestFit="1" customWidth="1"/>
    <col min="3" max="3" width="5.28515625" bestFit="1" customWidth="1"/>
    <col min="4" max="4" width="8.7109375" bestFit="1" customWidth="1"/>
    <col min="5" max="5" width="12" bestFit="1" customWidth="1"/>
    <col min="6" max="6" width="12" customWidth="1"/>
    <col min="7" max="7" width="12.7109375" bestFit="1" customWidth="1"/>
    <col min="8" max="8" width="12.7109375" customWidth="1"/>
    <col min="9" max="9" width="9.5703125" bestFit="1" customWidth="1"/>
    <col min="10" max="10" width="9.5703125" customWidth="1"/>
    <col min="11" max="11" width="9.85546875" bestFit="1" customWidth="1"/>
    <col min="12" max="12" width="9.85546875" customWidth="1"/>
    <col min="13" max="13" width="10.85546875" bestFit="1" customWidth="1"/>
    <col min="14" max="14" width="12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  <c r="G1" t="s">
        <v>5</v>
      </c>
      <c r="H1" t="s">
        <v>19</v>
      </c>
      <c r="I1" t="s">
        <v>6</v>
      </c>
      <c r="J1" t="s">
        <v>20</v>
      </c>
      <c r="K1" t="s">
        <v>7</v>
      </c>
      <c r="L1" t="s">
        <v>21</v>
      </c>
      <c r="M1" t="s">
        <v>8</v>
      </c>
      <c r="N1" t="s">
        <v>9</v>
      </c>
    </row>
    <row r="2" spans="1:14" x14ac:dyDescent="0.25">
      <c r="A2">
        <v>1</v>
      </c>
      <c r="B2" t="s">
        <v>10</v>
      </c>
      <c r="C2" t="s">
        <v>11</v>
      </c>
      <c r="D2">
        <v>1</v>
      </c>
      <c r="E2">
        <v>0.98</v>
      </c>
      <c r="G2">
        <v>0</v>
      </c>
      <c r="I2">
        <v>1.3798999999999999</v>
      </c>
      <c r="K2">
        <v>0.63280000000000003</v>
      </c>
      <c r="M2">
        <v>138</v>
      </c>
      <c r="N2">
        <v>63.3</v>
      </c>
    </row>
    <row r="3" spans="1:14" x14ac:dyDescent="0.25">
      <c r="A3">
        <v>1</v>
      </c>
      <c r="B3" t="s">
        <v>10</v>
      </c>
      <c r="C3" t="s">
        <v>11</v>
      </c>
      <c r="D3">
        <v>2</v>
      </c>
      <c r="E3">
        <v>0.98</v>
      </c>
      <c r="G3">
        <v>0</v>
      </c>
      <c r="I3">
        <v>1.5966</v>
      </c>
      <c r="K3">
        <v>0.87090000000000001</v>
      </c>
      <c r="M3">
        <v>159.69999999999999</v>
      </c>
      <c r="N3">
        <v>87.1</v>
      </c>
    </row>
    <row r="4" spans="1:14" x14ac:dyDescent="0.25">
      <c r="A4">
        <v>1</v>
      </c>
      <c r="B4" t="s">
        <v>10</v>
      </c>
      <c r="C4" t="s">
        <v>11</v>
      </c>
      <c r="D4">
        <v>3</v>
      </c>
      <c r="E4">
        <v>0.98</v>
      </c>
      <c r="G4">
        <v>0</v>
      </c>
      <c r="I4">
        <v>1.6071</v>
      </c>
      <c r="K4">
        <v>0.876</v>
      </c>
      <c r="M4">
        <v>160.69999999999999</v>
      </c>
      <c r="N4">
        <v>87.6</v>
      </c>
    </row>
    <row r="5" spans="1:14" x14ac:dyDescent="0.25">
      <c r="A5">
        <v>2</v>
      </c>
      <c r="B5" t="s">
        <v>12</v>
      </c>
      <c r="C5" t="s">
        <v>13</v>
      </c>
      <c r="D5">
        <v>1</v>
      </c>
      <c r="E5">
        <v>1</v>
      </c>
      <c r="G5">
        <v>-0.34713158404167399</v>
      </c>
      <c r="I5">
        <v>1.9633</v>
      </c>
      <c r="K5">
        <v>2.4584999999999999</v>
      </c>
      <c r="M5">
        <v>196.3</v>
      </c>
      <c r="N5">
        <v>245.9</v>
      </c>
    </row>
    <row r="6" spans="1:14" x14ac:dyDescent="0.25">
      <c r="A6">
        <v>2</v>
      </c>
      <c r="B6" t="s">
        <v>12</v>
      </c>
      <c r="C6" t="s">
        <v>13</v>
      </c>
      <c r="D6">
        <v>2</v>
      </c>
      <c r="E6">
        <v>1</v>
      </c>
      <c r="F6">
        <f>E6-E5</f>
        <v>0</v>
      </c>
      <c r="G6">
        <v>-0.49450468169245698</v>
      </c>
      <c r="H6">
        <f>G6-G5</f>
        <v>-0.14737309765078299</v>
      </c>
      <c r="I6">
        <v>2.1038999999999999</v>
      </c>
      <c r="J6">
        <f>I6-I5</f>
        <v>0.14059999999999984</v>
      </c>
      <c r="K6">
        <v>2.8140000000000001</v>
      </c>
      <c r="L6">
        <f>K6-K5</f>
        <v>0.35550000000000015</v>
      </c>
      <c r="M6">
        <v>210.4</v>
      </c>
      <c r="N6">
        <v>281.39999999999998</v>
      </c>
    </row>
    <row r="7" spans="1:14" x14ac:dyDescent="0.25">
      <c r="A7">
        <v>2</v>
      </c>
      <c r="B7" t="s">
        <v>12</v>
      </c>
      <c r="C7" t="s">
        <v>13</v>
      </c>
      <c r="D7">
        <v>3</v>
      </c>
      <c r="E7">
        <v>1</v>
      </c>
      <c r="F7">
        <f>E7-E6</f>
        <v>0</v>
      </c>
      <c r="G7">
        <v>-0.509370162606402</v>
      </c>
      <c r="H7">
        <f>G7-G6</f>
        <v>-1.4865480913945017E-2</v>
      </c>
      <c r="I7">
        <v>2.1006999999999998</v>
      </c>
      <c r="J7">
        <f>I7-I6</f>
        <v>-3.2000000000000917E-3</v>
      </c>
      <c r="K7">
        <v>2.8241000000000001</v>
      </c>
      <c r="L7">
        <f>K7-K6</f>
        <v>1.0099999999999998E-2</v>
      </c>
      <c r="M7">
        <v>210.1</v>
      </c>
      <c r="N7">
        <v>282.39999999999998</v>
      </c>
    </row>
    <row r="8" spans="1:14" x14ac:dyDescent="0.25">
      <c r="A8">
        <v>3</v>
      </c>
      <c r="B8" t="s">
        <v>14</v>
      </c>
      <c r="C8" t="s">
        <v>15</v>
      </c>
      <c r="D8">
        <v>1</v>
      </c>
      <c r="E8">
        <v>0.88475344609746298</v>
      </c>
      <c r="G8">
        <v>-5.7309827212189601</v>
      </c>
      <c r="I8">
        <v>-0.90249999999999997</v>
      </c>
      <c r="K8">
        <v>-0.75549999999999995</v>
      </c>
      <c r="M8">
        <v>-90.3</v>
      </c>
      <c r="N8">
        <v>-75.5</v>
      </c>
    </row>
    <row r="9" spans="1:14" x14ac:dyDescent="0.25">
      <c r="A9">
        <v>3</v>
      </c>
      <c r="B9" t="s">
        <v>14</v>
      </c>
      <c r="C9" t="s">
        <v>15</v>
      </c>
      <c r="D9">
        <v>2</v>
      </c>
      <c r="E9">
        <v>0.865868021869315</v>
      </c>
      <c r="F9">
        <f>E9-E8</f>
        <v>-1.8885424228147984E-2</v>
      </c>
      <c r="G9">
        <v>-6.6732406272029801</v>
      </c>
      <c r="H9">
        <f>G9-G8</f>
        <v>-0.94225790598401993</v>
      </c>
      <c r="I9">
        <v>-1.0922000000000001</v>
      </c>
      <c r="J9">
        <f>I9-I8</f>
        <v>-0.18970000000000009</v>
      </c>
      <c r="K9">
        <v>-0.84760000000000002</v>
      </c>
      <c r="L9">
        <f>K9-K8</f>
        <v>-9.2100000000000071E-2</v>
      </c>
      <c r="M9">
        <v>-109.2</v>
      </c>
      <c r="N9">
        <v>-84.8</v>
      </c>
    </row>
    <row r="10" spans="1:14" x14ac:dyDescent="0.25">
      <c r="A10">
        <v>3</v>
      </c>
      <c r="B10" t="s">
        <v>14</v>
      </c>
      <c r="C10" t="s">
        <v>15</v>
      </c>
      <c r="D10">
        <v>3</v>
      </c>
      <c r="E10">
        <v>0.86536109664968697</v>
      </c>
      <c r="F10">
        <f>E10-E9</f>
        <v>-5.0692521962802939E-4</v>
      </c>
      <c r="G10">
        <v>-6.7077414589987496</v>
      </c>
      <c r="H10">
        <f>G10-G9</f>
        <v>-3.4500831795769571E-2</v>
      </c>
      <c r="I10">
        <v>-1.1000000000000001</v>
      </c>
      <c r="J10">
        <f>I10-I9</f>
        <v>-7.8000000000000291E-3</v>
      </c>
      <c r="K10">
        <v>-0.85</v>
      </c>
      <c r="L10">
        <f>K10-K9</f>
        <v>-2.3999999999999577E-3</v>
      </c>
      <c r="M10">
        <v>-110</v>
      </c>
      <c r="N10">
        <v>-85</v>
      </c>
    </row>
    <row r="11" spans="1:14" x14ac:dyDescent="0.25">
      <c r="A11">
        <v>4</v>
      </c>
      <c r="B11" t="s">
        <v>16</v>
      </c>
      <c r="C11" t="s">
        <v>15</v>
      </c>
      <c r="D11">
        <v>1</v>
      </c>
      <c r="E11">
        <v>0.91011787440565095</v>
      </c>
      <c r="G11">
        <v>-4.2412766589908601</v>
      </c>
      <c r="I11">
        <v>-0.94210000000000005</v>
      </c>
      <c r="K11">
        <v>-0.77969999999999995</v>
      </c>
      <c r="M11">
        <v>-94.2</v>
      </c>
      <c r="N11">
        <v>-78</v>
      </c>
    </row>
    <row r="12" spans="1:14" x14ac:dyDescent="0.25">
      <c r="A12">
        <v>4</v>
      </c>
      <c r="B12" t="s">
        <v>16</v>
      </c>
      <c r="C12" t="s">
        <v>15</v>
      </c>
      <c r="D12">
        <v>2</v>
      </c>
      <c r="E12">
        <v>0.89553399871125405</v>
      </c>
      <c r="F12">
        <f>E12-E11</f>
        <v>-1.4583875694396897E-2</v>
      </c>
      <c r="G12">
        <v>-4.7646810852005297</v>
      </c>
      <c r="H12">
        <f>G12-G11</f>
        <v>-0.52340442620966954</v>
      </c>
      <c r="I12">
        <v>-1.0006999999999999</v>
      </c>
      <c r="J12">
        <f>I12-I11</f>
        <v>-5.8599999999999874E-2</v>
      </c>
      <c r="K12">
        <v>-0.94579999999999997</v>
      </c>
      <c r="L12">
        <f>K12-K11</f>
        <v>-0.16610000000000003</v>
      </c>
      <c r="M12">
        <v>-100.1</v>
      </c>
      <c r="N12">
        <v>-94.6</v>
      </c>
    </row>
    <row r="13" spans="1:14" x14ac:dyDescent="0.25">
      <c r="A13">
        <v>4</v>
      </c>
      <c r="B13" t="s">
        <v>16</v>
      </c>
      <c r="C13" t="s">
        <v>15</v>
      </c>
      <c r="D13">
        <v>3</v>
      </c>
      <c r="E13">
        <v>0.89515992269871403</v>
      </c>
      <c r="F13">
        <f>E13-E12</f>
        <v>-3.7407601254002554E-4</v>
      </c>
      <c r="G13">
        <v>-4.7803003012687002</v>
      </c>
      <c r="H13">
        <f>G13-G12</f>
        <v>-1.5619216068170516E-2</v>
      </c>
      <c r="I13">
        <v>-1</v>
      </c>
      <c r="J13">
        <f>I13-I12</f>
        <v>6.9999999999992291E-4</v>
      </c>
      <c r="K13">
        <v>-0.95</v>
      </c>
      <c r="L13">
        <f>K13-K12</f>
        <v>-4.1999999999999815E-3</v>
      </c>
      <c r="M13">
        <v>-100</v>
      </c>
      <c r="N13">
        <v>-95</v>
      </c>
    </row>
    <row r="14" spans="1:14" x14ac:dyDescent="0.25">
      <c r="A14">
        <v>5</v>
      </c>
      <c r="B14" t="s">
        <v>17</v>
      </c>
      <c r="C14" t="s">
        <v>15</v>
      </c>
      <c r="D14">
        <v>1</v>
      </c>
      <c r="E14">
        <v>0.91750718449188295</v>
      </c>
      <c r="G14">
        <v>-4.2340869496959499</v>
      </c>
      <c r="I14">
        <v>-1.4174</v>
      </c>
      <c r="K14">
        <v>-1.0301</v>
      </c>
      <c r="M14">
        <v>-141.69999999999999</v>
      </c>
      <c r="N14">
        <v>-103</v>
      </c>
    </row>
    <row r="15" spans="1:14" x14ac:dyDescent="0.25">
      <c r="A15">
        <v>5</v>
      </c>
      <c r="B15" t="s">
        <v>17</v>
      </c>
      <c r="C15" t="s">
        <v>15</v>
      </c>
      <c r="D15">
        <v>2</v>
      </c>
      <c r="E15">
        <v>0.90406643899740502</v>
      </c>
      <c r="F15">
        <f>E15-E14</f>
        <v>-1.3440745494477935E-2</v>
      </c>
      <c r="G15">
        <v>-4.7771944335869003</v>
      </c>
      <c r="H15">
        <f>G15-G14</f>
        <v>-0.54310748389095043</v>
      </c>
      <c r="I15">
        <v>-1.5004999999999999</v>
      </c>
      <c r="J15">
        <f>I15-I14</f>
        <v>-8.3099999999999952E-2</v>
      </c>
      <c r="K15">
        <v>-1.196</v>
      </c>
      <c r="L15">
        <f>K15-K14</f>
        <v>-0.16589999999999994</v>
      </c>
      <c r="M15">
        <v>-150</v>
      </c>
      <c r="N15">
        <v>-119.6</v>
      </c>
    </row>
    <row r="16" spans="1:14" x14ac:dyDescent="0.25">
      <c r="A16">
        <v>5</v>
      </c>
      <c r="B16" t="s">
        <v>17</v>
      </c>
      <c r="C16" t="s">
        <v>15</v>
      </c>
      <c r="D16">
        <v>3</v>
      </c>
      <c r="E16">
        <v>0.903727995080853</v>
      </c>
      <c r="F16">
        <f>E16-E15</f>
        <v>-3.3844391655202255E-4</v>
      </c>
      <c r="G16">
        <v>-4.7966678855557703</v>
      </c>
      <c r="H16">
        <f>G16-G15</f>
        <v>-1.9473451968869959E-2</v>
      </c>
      <c r="I16">
        <v>-1.5</v>
      </c>
      <c r="J16">
        <f>I16-I15</f>
        <v>4.9999999999994493E-4</v>
      </c>
      <c r="K16">
        <v>-1.2</v>
      </c>
      <c r="L16">
        <f>K16-K15</f>
        <v>-4.0000000000000036E-3</v>
      </c>
      <c r="M16">
        <v>-150</v>
      </c>
      <c r="N16">
        <v>-120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tabulated_bus_results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</dc:creator>
  <cp:lastModifiedBy>Jeffrey</cp:lastModifiedBy>
  <dcterms:created xsi:type="dcterms:W3CDTF">2025-11-29T08:24:33Z</dcterms:created>
  <dcterms:modified xsi:type="dcterms:W3CDTF">2025-11-29T08:24:33Z</dcterms:modified>
</cp:coreProperties>
</file>